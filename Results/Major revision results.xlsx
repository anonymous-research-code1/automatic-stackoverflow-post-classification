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-source" sheetId="1" r:id="rId5"/>
    <sheet state="visible" name="TF-prompt" sheetId="2" r:id="rId6"/>
    <sheet state="visible" name="Cost" sheetId="3" r:id="rId7"/>
    <sheet state="visible" name="Gemini" sheetId="4" r:id="rId8"/>
    <sheet state="visible" name="percentage" sheetId="5" r:id="rId9"/>
    <sheet state="visible" name="n-shots" sheetId="6" r:id="rId10"/>
  </sheets>
  <definedNames/>
  <calcPr/>
</workbook>
</file>

<file path=xl/sharedStrings.xml><?xml version="1.0" encoding="utf-8"?>
<sst xmlns="http://schemas.openxmlformats.org/spreadsheetml/2006/main" count="136" uniqueCount="42">
  <si>
    <t>Model</t>
  </si>
  <si>
    <t>Bug Type</t>
  </si>
  <si>
    <t>Root Cause</t>
  </si>
  <si>
    <t>Effect</t>
  </si>
  <si>
    <t>TF Keras</t>
  </si>
  <si>
    <t>PyTorch</t>
  </si>
  <si>
    <t>Qwen-2.5</t>
  </si>
  <si>
    <t>Llama 3.1</t>
  </si>
  <si>
    <t>Phi-4</t>
  </si>
  <si>
    <t>GPT-OSS</t>
  </si>
  <si>
    <t>Persona-based</t>
  </si>
  <si>
    <t>Instruction-based</t>
  </si>
  <si>
    <t>User-based</t>
  </si>
  <si>
    <t>Claude 3.5</t>
  </si>
  <si>
    <t>GPT-4o</t>
  </si>
  <si>
    <t>Cost</t>
  </si>
  <si>
    <t>Training Cost ($)</t>
  </si>
  <si>
    <t>Avg Testing Cost ($)</t>
  </si>
  <si>
    <t>vg Testing Time (s)</t>
  </si>
  <si>
    <t>Token</t>
  </si>
  <si>
    <t>GPT-3.5</t>
  </si>
  <si>
    <t>Claude 3.5 Sonnet</t>
  </si>
  <si>
    <t>Gemini 3 Pro</t>
  </si>
  <si>
    <t>SoTA</t>
  </si>
  <si>
    <t>AutoSOLabeler-TF</t>
  </si>
  <si>
    <t>BT</t>
  </si>
  <si>
    <t>RC</t>
  </si>
  <si>
    <t>ET</t>
  </si>
  <si>
    <t>Gemini 3 Pro -tf</t>
  </si>
  <si>
    <t>pt</t>
  </si>
  <si>
    <t>Simple Summary</t>
  </si>
  <si>
    <t>Contextual Summary</t>
  </si>
  <si>
    <t>Unexplained labels</t>
  </si>
  <si>
    <t>Static Description</t>
  </si>
  <si>
    <t>Label enriched zero shot</t>
  </si>
  <si>
    <t xml:space="preserve">Training Data </t>
  </si>
  <si>
    <t>LLM</t>
  </si>
  <si>
    <t>Shot</t>
  </si>
  <si>
    <t>1-shot</t>
  </si>
  <si>
    <t>Gemini-3-Pro</t>
  </si>
  <si>
    <t>2-shot</t>
  </si>
  <si>
    <t>3-shot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</si>
</sst>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9" xfId="0" applyAlignment="1" applyFont="1" applyNumberFormat="1">
      <alignment readingOrder="0"/>
    </xf>
    <xf borderId="0" fillId="2" fontId="2" numFmtId="0" xfId="0" applyFont="1"/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F1" s="1" t="s">
        <v>3</v>
      </c>
    </row>
    <row r="2">
      <c r="B2" s="2" t="s">
        <v>4</v>
      </c>
      <c r="C2" s="1" t="s">
        <v>5</v>
      </c>
      <c r="D2" s="2" t="s">
        <v>4</v>
      </c>
      <c r="E2" s="1" t="s">
        <v>5</v>
      </c>
      <c r="F2" s="2" t="s">
        <v>4</v>
      </c>
      <c r="G2" s="1" t="s">
        <v>5</v>
      </c>
    </row>
    <row r="3">
      <c r="A3" s="3" t="s">
        <v>6</v>
      </c>
      <c r="B3" s="4">
        <v>35.38</v>
      </c>
      <c r="C3" s="4">
        <v>0.0</v>
      </c>
      <c r="D3" s="4">
        <v>14.2857142857142</v>
      </c>
      <c r="E3" s="4">
        <v>20.0</v>
      </c>
      <c r="F3" s="4">
        <v>18.46</v>
      </c>
      <c r="G3" s="4">
        <v>20.0</v>
      </c>
    </row>
    <row r="4">
      <c r="A4" s="3" t="s">
        <v>7</v>
      </c>
      <c r="B4" s="4">
        <v>20.31</v>
      </c>
      <c r="C4" s="4">
        <v>0.0</v>
      </c>
      <c r="D4" s="4">
        <v>18.46</v>
      </c>
      <c r="E4" s="4">
        <v>0.0</v>
      </c>
      <c r="F4" s="4">
        <v>33.85</v>
      </c>
      <c r="G4" s="4">
        <v>20.0</v>
      </c>
      <c r="H4" s="1"/>
      <c r="I4" s="5"/>
    </row>
    <row r="5">
      <c r="A5" s="3" t="s">
        <v>8</v>
      </c>
      <c r="B5" s="4">
        <v>32.31</v>
      </c>
      <c r="C5" s="4">
        <v>20.0</v>
      </c>
      <c r="D5" s="4">
        <v>21.5384615384615</v>
      </c>
      <c r="E5" s="4">
        <v>20.0</v>
      </c>
      <c r="F5" s="4">
        <v>41.5384615384615</v>
      </c>
      <c r="G5" s="4">
        <v>20.0</v>
      </c>
      <c r="H5" s="1"/>
      <c r="I5" s="5"/>
    </row>
    <row r="6">
      <c r="A6" s="3" t="s">
        <v>9</v>
      </c>
      <c r="B6" s="4">
        <v>29.2307692307692</v>
      </c>
      <c r="C6" s="4">
        <v>20.0</v>
      </c>
      <c r="D6" s="4">
        <v>30.7692307692307</v>
      </c>
      <c r="E6" s="4">
        <v>40.0</v>
      </c>
      <c r="F6" s="4">
        <v>52.3076923076923</v>
      </c>
      <c r="G6" s="4">
        <v>40.0</v>
      </c>
    </row>
    <row r="7">
      <c r="C7" s="6"/>
    </row>
    <row r="12">
      <c r="B12" s="1"/>
      <c r="C12" s="1"/>
      <c r="E12" s="1"/>
      <c r="G12" s="1"/>
    </row>
    <row r="13">
      <c r="C13" s="2"/>
      <c r="D13" s="1"/>
      <c r="E13" s="2"/>
      <c r="F13" s="1"/>
      <c r="G13" s="2"/>
      <c r="H13" s="1"/>
    </row>
    <row r="14">
      <c r="C14" s="4"/>
      <c r="D14" s="4"/>
      <c r="E14" s="4"/>
      <c r="F14" s="4"/>
      <c r="G14" s="4"/>
      <c r="H14" s="4"/>
    </row>
    <row r="15">
      <c r="C15" s="4"/>
      <c r="D15" s="4"/>
      <c r="E15" s="4"/>
      <c r="F15" s="4"/>
      <c r="G15" s="4"/>
      <c r="H15" s="4"/>
    </row>
    <row r="16">
      <c r="C16" s="4"/>
      <c r="D16" s="4"/>
      <c r="E16" s="4"/>
      <c r="F16" s="4"/>
      <c r="G16" s="4"/>
      <c r="H16" s="4"/>
    </row>
    <row r="17">
      <c r="C17" s="4"/>
      <c r="D17" s="4"/>
      <c r="E17" s="4"/>
      <c r="F17" s="4"/>
      <c r="G17" s="4"/>
      <c r="H17" s="4"/>
    </row>
  </sheetData>
  <mergeCells count="8">
    <mergeCell ref="B12:B13"/>
    <mergeCell ref="C12:D12"/>
    <mergeCell ref="E12:F12"/>
    <mergeCell ref="G12:H12"/>
    <mergeCell ref="A1:A2"/>
    <mergeCell ref="B1:C1"/>
    <mergeCell ref="D1:E1"/>
    <mergeCell ref="F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1" t="s">
        <v>2</v>
      </c>
      <c r="H1" s="1" t="s">
        <v>3</v>
      </c>
    </row>
    <row r="2">
      <c r="B2" s="1" t="s">
        <v>10</v>
      </c>
      <c r="C2" s="1" t="s">
        <v>11</v>
      </c>
      <c r="D2" s="1" t="s">
        <v>12</v>
      </c>
      <c r="E2" s="1" t="s">
        <v>10</v>
      </c>
      <c r="F2" s="1" t="s">
        <v>11</v>
      </c>
      <c r="G2" s="1" t="s">
        <v>12</v>
      </c>
      <c r="H2" s="1" t="s">
        <v>10</v>
      </c>
      <c r="I2" s="1" t="s">
        <v>11</v>
      </c>
      <c r="J2" s="1" t="s">
        <v>12</v>
      </c>
    </row>
    <row r="3">
      <c r="A3" s="3" t="s">
        <v>13</v>
      </c>
      <c r="B3" s="3">
        <v>64.62</v>
      </c>
      <c r="C3" s="3">
        <v>61.53</v>
      </c>
      <c r="D3" s="3">
        <v>53.84</v>
      </c>
      <c r="E3" s="3">
        <v>61.54</v>
      </c>
      <c r="F3" s="3">
        <v>55.38</v>
      </c>
      <c r="G3" s="3">
        <v>49.23</v>
      </c>
      <c r="H3" s="3">
        <v>53.85</v>
      </c>
      <c r="I3" s="3">
        <v>49.23</v>
      </c>
      <c r="J3" s="3">
        <v>44.61</v>
      </c>
    </row>
    <row r="4">
      <c r="A4" s="3" t="s">
        <v>14</v>
      </c>
      <c r="B4" s="3">
        <v>63.08</v>
      </c>
      <c r="C4" s="3">
        <v>50.76</v>
      </c>
      <c r="D4" s="3">
        <v>44.61</v>
      </c>
      <c r="E4" s="3">
        <v>66.15</v>
      </c>
      <c r="F4" s="3">
        <v>58.46</v>
      </c>
      <c r="G4" s="3">
        <v>75.38</v>
      </c>
      <c r="H4" s="3">
        <v>80.0</v>
      </c>
      <c r="I4" s="3">
        <v>75.38</v>
      </c>
      <c r="J4" s="3">
        <v>70.76</v>
      </c>
    </row>
    <row r="6">
      <c r="A6" s="1" t="s">
        <v>0</v>
      </c>
      <c r="B6" s="1" t="s">
        <v>1</v>
      </c>
      <c r="E6" s="1" t="s">
        <v>2</v>
      </c>
      <c r="H6" s="1" t="s">
        <v>3</v>
      </c>
    </row>
    <row r="7">
      <c r="B7" s="1">
        <v>1.0</v>
      </c>
      <c r="C7" s="1">
        <v>0.5</v>
      </c>
      <c r="D7" s="1">
        <v>0.2</v>
      </c>
      <c r="E7" s="1">
        <v>1.0</v>
      </c>
      <c r="F7" s="1">
        <v>0.5</v>
      </c>
      <c r="G7" s="1">
        <v>0.2</v>
      </c>
      <c r="H7" s="1">
        <v>1.0</v>
      </c>
      <c r="I7" s="1">
        <v>0.5</v>
      </c>
      <c r="J7" s="1">
        <v>0.2</v>
      </c>
    </row>
    <row r="8">
      <c r="A8" s="3" t="s">
        <v>13</v>
      </c>
      <c r="B8" s="3">
        <v>64.62</v>
      </c>
      <c r="C8" s="3">
        <v>58.46</v>
      </c>
      <c r="D8" s="3">
        <v>43.08</v>
      </c>
      <c r="E8" s="3">
        <v>61.54</v>
      </c>
      <c r="F8" s="3">
        <v>60.0</v>
      </c>
      <c r="G8" s="3">
        <v>49.23</v>
      </c>
      <c r="H8" s="3">
        <v>53.85</v>
      </c>
      <c r="I8" s="3">
        <v>46.15</v>
      </c>
      <c r="J8" s="3">
        <v>33.84</v>
      </c>
    </row>
    <row r="9">
      <c r="A9" s="3" t="s">
        <v>14</v>
      </c>
      <c r="B9" s="3">
        <v>63.08</v>
      </c>
      <c r="C9" s="3">
        <v>53.84</v>
      </c>
      <c r="D9" s="3">
        <v>32.31</v>
      </c>
      <c r="E9" s="3">
        <v>66.15</v>
      </c>
      <c r="F9" s="3">
        <v>61.53</v>
      </c>
      <c r="G9" s="3">
        <v>58.46</v>
      </c>
      <c r="H9" s="3">
        <v>80.0</v>
      </c>
      <c r="I9" s="3">
        <v>49.23</v>
      </c>
      <c r="J9" s="3">
        <v>43.08</v>
      </c>
    </row>
  </sheetData>
  <mergeCells count="8">
    <mergeCell ref="A6:A7"/>
    <mergeCell ref="A1:A2"/>
    <mergeCell ref="B1:D1"/>
    <mergeCell ref="E1:G1"/>
    <mergeCell ref="B6:D6"/>
    <mergeCell ref="E6:G6"/>
    <mergeCell ref="H6:J6"/>
    <mergeCell ref="H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>
      <c r="A2" s="3" t="s">
        <v>20</v>
      </c>
      <c r="B2" s="3">
        <v>0.14</v>
      </c>
      <c r="C2" s="3">
        <v>0.001</v>
      </c>
      <c r="D2" s="3">
        <v>1.61</v>
      </c>
      <c r="E2" s="7">
        <f>(1130.64615384615+678.146153846153+782.146153846153)/3</f>
        <v>863.6461538</v>
      </c>
    </row>
    <row r="3">
      <c r="A3" s="3" t="s">
        <v>21</v>
      </c>
      <c r="B3" s="3">
        <v>2.65</v>
      </c>
      <c r="C3" s="3">
        <v>0.032</v>
      </c>
      <c r="D3" s="3">
        <v>12.3</v>
      </c>
      <c r="E3" s="7">
        <f>(782.146153846153+678.146153846153+1130.64615384615)/3</f>
        <v>863.6461538</v>
      </c>
    </row>
    <row r="4">
      <c r="A4" s="3" t="s">
        <v>14</v>
      </c>
      <c r="B4" s="3">
        <v>0.25</v>
      </c>
      <c r="C4" s="3">
        <v>0.001</v>
      </c>
      <c r="D4" s="3">
        <v>3.1</v>
      </c>
      <c r="E4" s="7">
        <f>(792.030769230769+ 690.030769230769+ 1134.03076923076)/3</f>
        <v>872.0307692</v>
      </c>
    </row>
    <row r="5">
      <c r="A5" s="3" t="s">
        <v>22</v>
      </c>
      <c r="B5" s="3">
        <v>0.42</v>
      </c>
      <c r="C5" s="3">
        <v>0.001</v>
      </c>
      <c r="D5" s="3">
        <v>12.61</v>
      </c>
      <c r="E5" s="7">
        <f>(782.146153846153+678.146153846153+1130.64615384615)/3</f>
        <v>863.6461538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B1" s="3" t="s">
        <v>23</v>
      </c>
      <c r="E1" s="3" t="s">
        <v>24</v>
      </c>
    </row>
    <row r="2">
      <c r="B2" s="3" t="s">
        <v>25</v>
      </c>
      <c r="C2" s="3" t="s">
        <v>26</v>
      </c>
      <c r="D2" s="3" t="s">
        <v>27</v>
      </c>
      <c r="E2" s="3" t="s">
        <v>25</v>
      </c>
      <c r="F2" s="3" t="s">
        <v>26</v>
      </c>
      <c r="G2" s="3" t="s">
        <v>27</v>
      </c>
    </row>
    <row r="3">
      <c r="A3" s="3" t="s">
        <v>28</v>
      </c>
      <c r="B3" s="3">
        <v>0.2923</v>
      </c>
      <c r="C3" s="3">
        <v>0.3231</v>
      </c>
      <c r="D3" s="3">
        <v>0.7692</v>
      </c>
      <c r="E3" s="3">
        <v>0.8125</v>
      </c>
      <c r="F3" s="3">
        <v>0.507692307692307</v>
      </c>
      <c r="G3" s="3">
        <v>0.741935483870967</v>
      </c>
    </row>
    <row r="4">
      <c r="A4" s="3" t="s">
        <v>29</v>
      </c>
      <c r="B4" s="3">
        <v>20.0</v>
      </c>
      <c r="C4" s="3">
        <v>20.0</v>
      </c>
      <c r="D4" s="3">
        <v>40.0</v>
      </c>
      <c r="E4" s="3">
        <v>40.0</v>
      </c>
      <c r="F4" s="3">
        <v>40.0</v>
      </c>
      <c r="G4" s="3">
        <v>40.0</v>
      </c>
    </row>
    <row r="6">
      <c r="E6" s="3" t="s">
        <v>30</v>
      </c>
    </row>
    <row r="7">
      <c r="E7" s="3" t="s">
        <v>25</v>
      </c>
      <c r="F7" s="3" t="s">
        <v>26</v>
      </c>
      <c r="G7" s="3" t="s">
        <v>27</v>
      </c>
    </row>
    <row r="8">
      <c r="E8" s="3">
        <v>0.6923</v>
      </c>
      <c r="F8" s="3">
        <v>0.4</v>
      </c>
      <c r="G8" s="3">
        <v>0.6615</v>
      </c>
    </row>
    <row r="9">
      <c r="E9" s="3">
        <v>0.4</v>
      </c>
      <c r="F9" s="3">
        <v>0.4</v>
      </c>
      <c r="G9" s="3">
        <v>0.6</v>
      </c>
    </row>
    <row r="11">
      <c r="E11" s="3" t="s">
        <v>31</v>
      </c>
    </row>
    <row r="12">
      <c r="E12" s="3" t="s">
        <v>25</v>
      </c>
      <c r="F12" s="3" t="s">
        <v>26</v>
      </c>
      <c r="G12" s="3" t="s">
        <v>27</v>
      </c>
    </row>
    <row r="13">
      <c r="E13" s="3">
        <v>0.5538</v>
      </c>
      <c r="F13" s="3">
        <v>0.4461</v>
      </c>
      <c r="G13" s="3">
        <v>0.6307</v>
      </c>
    </row>
    <row r="14">
      <c r="E14" s="3">
        <v>0.4</v>
      </c>
      <c r="F14" s="3">
        <v>0.4</v>
      </c>
      <c r="G14" s="3">
        <v>0.4</v>
      </c>
    </row>
    <row r="16">
      <c r="E16" s="3" t="s">
        <v>32</v>
      </c>
    </row>
    <row r="17">
      <c r="E17" s="3" t="s">
        <v>25</v>
      </c>
      <c r="F17" s="3" t="s">
        <v>26</v>
      </c>
      <c r="G17" s="3" t="s">
        <v>27</v>
      </c>
    </row>
    <row r="18">
      <c r="E18" s="3">
        <v>0.32307</v>
      </c>
      <c r="F18" s="3">
        <v>0.3076</v>
      </c>
      <c r="G18" s="3">
        <v>0.3692</v>
      </c>
    </row>
    <row r="19">
      <c r="E19" s="3">
        <v>0.4</v>
      </c>
      <c r="F19" s="3">
        <v>0.2</v>
      </c>
      <c r="G19" s="3">
        <v>0.4</v>
      </c>
    </row>
    <row r="21">
      <c r="E21" s="3" t="s">
        <v>33</v>
      </c>
    </row>
    <row r="22">
      <c r="E22" s="3" t="s">
        <v>25</v>
      </c>
      <c r="F22" s="3" t="s">
        <v>26</v>
      </c>
      <c r="G22" s="3" t="s">
        <v>27</v>
      </c>
    </row>
    <row r="23">
      <c r="E23" s="3">
        <v>0.523</v>
      </c>
      <c r="F23" s="3">
        <v>0.3538</v>
      </c>
      <c r="G23" s="3">
        <v>0.5538</v>
      </c>
    </row>
    <row r="24">
      <c r="E24" s="3">
        <v>0.4</v>
      </c>
      <c r="F24" s="3">
        <v>0.4</v>
      </c>
      <c r="G24" s="3">
        <v>0.4</v>
      </c>
    </row>
    <row r="25">
      <c r="E25" s="3" t="s">
        <v>34</v>
      </c>
    </row>
    <row r="26">
      <c r="E26" s="3" t="s">
        <v>25</v>
      </c>
      <c r="F26" s="3" t="s">
        <v>26</v>
      </c>
      <c r="G26" s="3" t="s">
        <v>27</v>
      </c>
    </row>
    <row r="27">
      <c r="E27" s="3">
        <v>0.4615</v>
      </c>
      <c r="F27" s="3">
        <v>0.3384</v>
      </c>
      <c r="G27" s="3">
        <v>0.6</v>
      </c>
    </row>
    <row r="28">
      <c r="E28" s="3">
        <v>0.6</v>
      </c>
      <c r="F28" s="3">
        <v>0.4</v>
      </c>
      <c r="G28" s="3">
        <v>0.6</v>
      </c>
    </row>
  </sheetData>
  <mergeCells count="2">
    <mergeCell ref="B1:D1"/>
    <mergeCell ref="E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35</v>
      </c>
      <c r="B1" s="8" t="s">
        <v>36</v>
      </c>
      <c r="C1" s="8" t="s">
        <v>1</v>
      </c>
      <c r="E1" s="8" t="s">
        <v>2</v>
      </c>
      <c r="G1" s="3" t="s">
        <v>3</v>
      </c>
    </row>
    <row r="2">
      <c r="C2" s="8" t="s">
        <v>4</v>
      </c>
      <c r="D2" s="8" t="s">
        <v>5</v>
      </c>
      <c r="E2" s="8" t="s">
        <v>4</v>
      </c>
      <c r="F2" s="8" t="s">
        <v>5</v>
      </c>
      <c r="G2" s="3" t="s">
        <v>4</v>
      </c>
      <c r="H2" s="3" t="s">
        <v>5</v>
      </c>
    </row>
    <row r="3">
      <c r="A3" s="9">
        <v>0.6</v>
      </c>
      <c r="B3" s="8" t="s">
        <v>14</v>
      </c>
      <c r="C3" s="8">
        <v>35.38</v>
      </c>
      <c r="D3" s="8">
        <v>40.0</v>
      </c>
      <c r="E3" s="8">
        <v>30.77</v>
      </c>
      <c r="F3" s="8">
        <v>20.0</v>
      </c>
      <c r="G3" s="3">
        <v>35.38</v>
      </c>
      <c r="H3" s="3">
        <v>40.0</v>
      </c>
    </row>
    <row r="4">
      <c r="B4" s="8" t="s">
        <v>22</v>
      </c>
      <c r="C4" s="8">
        <v>30.77</v>
      </c>
      <c r="D4" s="8">
        <v>20.0</v>
      </c>
      <c r="E4" s="8">
        <v>33.85</v>
      </c>
      <c r="F4" s="8">
        <v>20.0</v>
      </c>
      <c r="G4" s="3">
        <v>53.84</v>
      </c>
      <c r="H4" s="3">
        <v>20.0</v>
      </c>
    </row>
    <row r="5">
      <c r="A5" s="9">
        <v>0.7</v>
      </c>
      <c r="B5" s="8" t="s">
        <v>14</v>
      </c>
      <c r="C5" s="8">
        <v>35.38</v>
      </c>
      <c r="D5" s="8">
        <v>40.0</v>
      </c>
      <c r="E5" s="8">
        <v>32.31</v>
      </c>
      <c r="F5" s="8">
        <v>20.0</v>
      </c>
      <c r="G5" s="3">
        <v>40.0</v>
      </c>
      <c r="H5" s="3">
        <v>40.0</v>
      </c>
    </row>
    <row r="6">
      <c r="B6" s="8" t="s">
        <v>22</v>
      </c>
      <c r="C6" s="8">
        <v>58.46</v>
      </c>
      <c r="D6" s="8">
        <v>20.0</v>
      </c>
      <c r="E6" s="8">
        <v>43.07</v>
      </c>
      <c r="F6" s="8">
        <v>20.0</v>
      </c>
      <c r="G6" s="3">
        <v>67.69</v>
      </c>
      <c r="H6" s="3">
        <v>20.0</v>
      </c>
    </row>
    <row r="7">
      <c r="A7" s="9">
        <v>0.8</v>
      </c>
      <c r="B7" s="8" t="s">
        <v>14</v>
      </c>
      <c r="C7" s="8">
        <v>40.0</v>
      </c>
      <c r="D7" s="8">
        <v>60.0</v>
      </c>
      <c r="E7" s="8">
        <v>39.06</v>
      </c>
      <c r="F7" s="8">
        <v>20.0</v>
      </c>
      <c r="G7" s="3">
        <v>46.15</v>
      </c>
      <c r="H7" s="3">
        <v>40.0</v>
      </c>
    </row>
    <row r="8">
      <c r="B8" s="8" t="s">
        <v>22</v>
      </c>
      <c r="C8" s="8">
        <v>63.07</v>
      </c>
      <c r="D8" s="8">
        <v>40.0</v>
      </c>
      <c r="E8" s="8">
        <v>40.0</v>
      </c>
      <c r="F8" s="8">
        <v>40.0</v>
      </c>
      <c r="G8" s="3">
        <v>72.3</v>
      </c>
      <c r="H8" s="3">
        <v>20.0</v>
      </c>
    </row>
    <row r="9">
      <c r="A9" s="9">
        <v>0.9</v>
      </c>
      <c r="B9" s="8" t="s">
        <v>14</v>
      </c>
      <c r="C9" s="8">
        <v>55.38</v>
      </c>
      <c r="D9" s="8">
        <v>60.0</v>
      </c>
      <c r="E9" s="8">
        <v>52.3</v>
      </c>
      <c r="F9" s="8">
        <v>40.0</v>
      </c>
      <c r="G9" s="3">
        <v>66.15</v>
      </c>
      <c r="H9" s="3">
        <v>40.0</v>
      </c>
    </row>
    <row r="10">
      <c r="B10" s="8" t="s">
        <v>22</v>
      </c>
      <c r="C10" s="8">
        <v>64.61</v>
      </c>
      <c r="D10" s="8">
        <v>40.0</v>
      </c>
      <c r="E10" s="8">
        <v>46.15</v>
      </c>
      <c r="F10" s="8">
        <v>40.0</v>
      </c>
      <c r="G10" s="3">
        <v>72.3</v>
      </c>
      <c r="H10" s="3">
        <v>40.0</v>
      </c>
    </row>
    <row r="11">
      <c r="A11" s="9">
        <v>1.0</v>
      </c>
      <c r="B11" s="8" t="s">
        <v>14</v>
      </c>
      <c r="C11" s="8">
        <v>63.08</v>
      </c>
      <c r="D11" s="8">
        <v>80.0</v>
      </c>
      <c r="E11" s="8">
        <v>66.15</v>
      </c>
      <c r="F11" s="8">
        <v>40.0</v>
      </c>
      <c r="G11" s="3">
        <v>80.0</v>
      </c>
      <c r="H11" s="3">
        <v>60.0</v>
      </c>
    </row>
    <row r="12">
      <c r="B12" s="8" t="s">
        <v>22</v>
      </c>
      <c r="C12" s="8">
        <v>81.25</v>
      </c>
      <c r="D12" s="8">
        <v>40.0</v>
      </c>
      <c r="E12" s="8">
        <v>50.76</v>
      </c>
      <c r="F12" s="8">
        <v>40.0</v>
      </c>
      <c r="G12" s="3">
        <v>74.19</v>
      </c>
      <c r="H12" s="3">
        <v>40.0</v>
      </c>
    </row>
    <row r="16">
      <c r="M16" s="10"/>
      <c r="N16" s="10"/>
      <c r="O16" s="10"/>
      <c r="P16" s="10"/>
      <c r="Q16" s="10"/>
      <c r="R16" s="10"/>
    </row>
    <row r="17">
      <c r="M17" s="10"/>
      <c r="N17" s="10"/>
      <c r="O17" s="10"/>
      <c r="P17" s="10"/>
      <c r="Q17" s="10"/>
      <c r="R17" s="10"/>
    </row>
    <row r="18">
      <c r="A18" s="11"/>
      <c r="F18" s="11"/>
      <c r="M18" s="10"/>
      <c r="N18" s="10"/>
      <c r="O18" s="10"/>
      <c r="P18" s="10"/>
      <c r="Q18" s="10"/>
      <c r="R18" s="10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34">
      <c r="A34" s="3" t="s">
        <v>35</v>
      </c>
      <c r="B34" s="3" t="s">
        <v>36</v>
      </c>
      <c r="C34" s="3" t="s">
        <v>1</v>
      </c>
      <c r="E34" s="3" t="s">
        <v>2</v>
      </c>
      <c r="G34" s="3" t="s">
        <v>3</v>
      </c>
    </row>
    <row r="35">
      <c r="C35" s="3" t="s">
        <v>4</v>
      </c>
      <c r="D35" s="3" t="s">
        <v>5</v>
      </c>
      <c r="E35" s="3" t="s">
        <v>4</v>
      </c>
      <c r="F35" s="3" t="s">
        <v>5</v>
      </c>
      <c r="G35" s="3" t="s">
        <v>4</v>
      </c>
      <c r="H35" s="3" t="s">
        <v>5</v>
      </c>
    </row>
    <row r="36">
      <c r="A36" s="11">
        <v>0.6</v>
      </c>
      <c r="B36" s="3" t="s">
        <v>14</v>
      </c>
      <c r="C36" s="3">
        <v>35.38</v>
      </c>
      <c r="D36" s="3">
        <v>40.0</v>
      </c>
      <c r="E36" s="3">
        <v>30.77</v>
      </c>
      <c r="F36" s="3">
        <v>20.0</v>
      </c>
      <c r="G36" s="3">
        <v>35.38</v>
      </c>
      <c r="H36" s="3">
        <v>40.0</v>
      </c>
    </row>
    <row r="37">
      <c r="B37" s="3" t="s">
        <v>22</v>
      </c>
      <c r="C37" s="3">
        <v>30.77</v>
      </c>
      <c r="D37" s="3">
        <v>33.85</v>
      </c>
      <c r="E37" s="3">
        <v>33.85</v>
      </c>
      <c r="F37" s="3">
        <v>20.0</v>
      </c>
      <c r="G37" s="3">
        <v>53.84</v>
      </c>
      <c r="H37" s="3">
        <v>20.0</v>
      </c>
    </row>
    <row r="38">
      <c r="A38" s="11">
        <v>0.7</v>
      </c>
      <c r="B38" s="3" t="s">
        <v>14</v>
      </c>
      <c r="C38" s="3">
        <v>35.38</v>
      </c>
      <c r="D38" s="3">
        <v>40.0</v>
      </c>
      <c r="E38" s="3">
        <v>40.0</v>
      </c>
      <c r="F38" s="3">
        <v>20.0</v>
      </c>
      <c r="G38" s="3">
        <v>32.31</v>
      </c>
      <c r="H38" s="3">
        <v>40.0</v>
      </c>
    </row>
    <row r="39">
      <c r="B39" s="3" t="s">
        <v>22</v>
      </c>
      <c r="C39" s="3">
        <v>58.46</v>
      </c>
      <c r="D39" s="3">
        <v>43.07</v>
      </c>
      <c r="E39" s="3">
        <v>43.07</v>
      </c>
      <c r="F39" s="3">
        <v>20.0</v>
      </c>
      <c r="G39" s="3">
        <v>67.69</v>
      </c>
      <c r="H39" s="3">
        <v>20.0</v>
      </c>
    </row>
    <row r="40">
      <c r="A40" s="11">
        <v>0.8</v>
      </c>
      <c r="B40" s="3" t="s">
        <v>14</v>
      </c>
      <c r="C40" s="3">
        <v>40.0</v>
      </c>
      <c r="D40" s="3">
        <v>60.0</v>
      </c>
      <c r="E40" s="3">
        <v>39.06</v>
      </c>
      <c r="F40" s="3">
        <v>40.0</v>
      </c>
      <c r="G40" s="3">
        <v>46.15</v>
      </c>
      <c r="H40" s="3">
        <v>40.0</v>
      </c>
    </row>
    <row r="41">
      <c r="B41" s="3" t="s">
        <v>22</v>
      </c>
      <c r="C41" s="3">
        <v>63.07</v>
      </c>
      <c r="D41" s="3">
        <v>0.4</v>
      </c>
      <c r="E41" s="3">
        <v>72.3</v>
      </c>
      <c r="F41" s="3">
        <v>40.0</v>
      </c>
      <c r="G41" s="3">
        <v>20.0</v>
      </c>
      <c r="H41" s="3">
        <v>20.0</v>
      </c>
    </row>
    <row r="42">
      <c r="A42" s="11">
        <v>0.9</v>
      </c>
      <c r="B42" s="3" t="s">
        <v>14</v>
      </c>
      <c r="C42" s="3">
        <v>55.38</v>
      </c>
      <c r="D42" s="3">
        <v>60.0</v>
      </c>
      <c r="E42" s="3">
        <v>52.3</v>
      </c>
      <c r="F42" s="3">
        <v>40.0</v>
      </c>
      <c r="G42" s="3">
        <v>66.15</v>
      </c>
      <c r="H42" s="3">
        <v>40.0</v>
      </c>
    </row>
    <row r="43">
      <c r="B43" s="3" t="s">
        <v>22</v>
      </c>
      <c r="C43" s="3">
        <v>64.61</v>
      </c>
      <c r="D43" s="3">
        <v>46.15</v>
      </c>
      <c r="E43" s="3">
        <v>72.3</v>
      </c>
      <c r="F43" s="3">
        <v>40.0</v>
      </c>
      <c r="G43" s="3">
        <v>40.0</v>
      </c>
      <c r="H43" s="3">
        <v>40.0</v>
      </c>
    </row>
    <row r="44">
      <c r="A44" s="11">
        <v>1.0</v>
      </c>
      <c r="B44" s="3" t="s">
        <v>14</v>
      </c>
      <c r="C44" s="3">
        <v>63.08</v>
      </c>
      <c r="D44" s="3">
        <v>80.0</v>
      </c>
      <c r="E44" s="3">
        <v>66.15</v>
      </c>
      <c r="F44" s="3">
        <v>40.0</v>
      </c>
      <c r="G44" s="3">
        <v>80.0</v>
      </c>
      <c r="H44" s="3">
        <v>60.0</v>
      </c>
    </row>
    <row r="45">
      <c r="B45" s="3" t="s">
        <v>22</v>
      </c>
      <c r="C45" s="3">
        <v>81.25</v>
      </c>
      <c r="D45" s="3">
        <v>50.76</v>
      </c>
      <c r="E45" s="3">
        <v>74.19</v>
      </c>
      <c r="F45" s="3">
        <v>40.0</v>
      </c>
      <c r="G45" s="3">
        <v>40.0</v>
      </c>
      <c r="H45" s="3">
        <v>40.0</v>
      </c>
    </row>
  </sheetData>
  <mergeCells count="20">
    <mergeCell ref="B34:B35"/>
    <mergeCell ref="C34:D34"/>
    <mergeCell ref="E34:F34"/>
    <mergeCell ref="G34:H34"/>
    <mergeCell ref="B1:B2"/>
    <mergeCell ref="C1:D1"/>
    <mergeCell ref="E1:F1"/>
    <mergeCell ref="G1:H1"/>
    <mergeCell ref="A3:A4"/>
    <mergeCell ref="A5:A6"/>
    <mergeCell ref="A7:A8"/>
    <mergeCell ref="A9:A10"/>
    <mergeCell ref="A34:A35"/>
    <mergeCell ref="A36:A37"/>
    <mergeCell ref="A38:A39"/>
    <mergeCell ref="A40:A41"/>
    <mergeCell ref="A42:A43"/>
    <mergeCell ref="A44:A45"/>
    <mergeCell ref="A1:A2"/>
    <mergeCell ref="A11:A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</v>
      </c>
      <c r="B1" s="3" t="s">
        <v>36</v>
      </c>
      <c r="C1" s="3" t="s">
        <v>1</v>
      </c>
      <c r="E1" s="3" t="s">
        <v>2</v>
      </c>
      <c r="G1" s="3" t="s">
        <v>3</v>
      </c>
    </row>
    <row r="2">
      <c r="C2" s="8" t="s">
        <v>4</v>
      </c>
      <c r="D2" s="8" t="s">
        <v>5</v>
      </c>
      <c r="E2" s="8" t="s">
        <v>4</v>
      </c>
      <c r="F2" s="8" t="s">
        <v>5</v>
      </c>
      <c r="G2" s="8" t="s">
        <v>4</v>
      </c>
      <c r="H2" s="8" t="s">
        <v>5</v>
      </c>
    </row>
    <row r="3">
      <c r="A3" s="3" t="s">
        <v>38</v>
      </c>
      <c r="B3" s="3" t="s">
        <v>14</v>
      </c>
      <c r="C3" s="3">
        <v>63.08</v>
      </c>
      <c r="D3" s="3">
        <v>80.0</v>
      </c>
      <c r="E3" s="3">
        <v>66.15</v>
      </c>
      <c r="F3" s="3">
        <v>40.0</v>
      </c>
      <c r="G3" s="3">
        <v>80.0</v>
      </c>
      <c r="H3" s="3">
        <v>60.0</v>
      </c>
    </row>
    <row r="4">
      <c r="B4" s="3" t="s">
        <v>39</v>
      </c>
      <c r="C4" s="3">
        <v>81.25</v>
      </c>
      <c r="D4" s="3">
        <v>40.0</v>
      </c>
      <c r="E4" s="3">
        <v>50.76</v>
      </c>
      <c r="F4" s="3">
        <v>40.0</v>
      </c>
      <c r="G4" s="3">
        <v>74.19</v>
      </c>
      <c r="H4" s="3">
        <v>40.0</v>
      </c>
    </row>
    <row r="5">
      <c r="A5" s="3" t="s">
        <v>40</v>
      </c>
      <c r="B5" s="3" t="s">
        <v>14</v>
      </c>
      <c r="C5" s="3">
        <v>60.0</v>
      </c>
      <c r="D5" s="3">
        <v>40.0</v>
      </c>
      <c r="E5" s="3">
        <v>63.07</v>
      </c>
      <c r="F5" s="3">
        <v>20.0</v>
      </c>
      <c r="G5" s="3">
        <v>67.69</v>
      </c>
      <c r="H5" s="3">
        <v>40.0</v>
      </c>
    </row>
    <row r="6">
      <c r="B6" s="3" t="s">
        <v>39</v>
      </c>
      <c r="C6" s="3">
        <v>53.84</v>
      </c>
      <c r="D6" s="3">
        <v>40.0</v>
      </c>
      <c r="E6" s="3">
        <v>47.69</v>
      </c>
      <c r="F6" s="3">
        <v>40.0</v>
      </c>
      <c r="G6" s="3">
        <v>74.19</v>
      </c>
      <c r="H6" s="3">
        <v>20.0</v>
      </c>
    </row>
    <row r="7">
      <c r="A7" s="3" t="s">
        <v>41</v>
      </c>
      <c r="B7" s="3" t="s">
        <v>14</v>
      </c>
      <c r="C7" s="3">
        <v>52.3</v>
      </c>
      <c r="D7" s="3">
        <v>40.0</v>
      </c>
      <c r="E7" s="3">
        <v>35.38</v>
      </c>
      <c r="F7" s="3">
        <v>20.0</v>
      </c>
      <c r="G7" s="3">
        <v>49.23</v>
      </c>
      <c r="H7" s="3">
        <v>40.0</v>
      </c>
    </row>
    <row r="8">
      <c r="B8" s="3" t="s">
        <v>39</v>
      </c>
      <c r="C8" s="3">
        <v>45.31</v>
      </c>
      <c r="D8" s="3">
        <v>40.0</v>
      </c>
      <c r="E8" s="3">
        <v>41.53</v>
      </c>
      <c r="F8" s="3">
        <v>20.0</v>
      </c>
      <c r="G8" s="3">
        <v>73.84</v>
      </c>
      <c r="H8" s="3">
        <v>40.0</v>
      </c>
    </row>
  </sheetData>
  <mergeCells count="10">
    <mergeCell ref="A3:A4"/>
    <mergeCell ref="A5:A6"/>
    <mergeCell ref="A7:A8"/>
    <mergeCell ref="A1:A2"/>
    <mergeCell ref="E1:F1"/>
    <mergeCell ref="C1:D1"/>
    <mergeCell ref="B13:D13"/>
    <mergeCell ref="G13:I13"/>
    <mergeCell ref="G1:H1"/>
    <mergeCell ref="B1:B2"/>
  </mergeCells>
  <drawing r:id="rId1"/>
</worksheet>
</file>